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Pivot Table 1" sheetId="2" r:id="rId6"/>
    <sheet state="visible" name="feedback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<sst xmlns="http://schemas.openxmlformats.org/spreadsheetml/2006/main" count="28" uniqueCount="20">
  <si>
    <t>ticket_id</t>
  </si>
  <si>
    <t>created_at</t>
  </si>
  <si>
    <t>closed_at</t>
  </si>
  <si>
    <t>outlet_id</t>
  </si>
  <si>
    <t>cms_id</t>
  </si>
  <si>
    <t>Same Day</t>
  </si>
  <si>
    <t>Same Hour</t>
  </si>
  <si>
    <t>t1</t>
  </si>
  <si>
    <t>o1</t>
  </si>
  <si>
    <t>cms_101</t>
  </si>
  <si>
    <t>t2</t>
  </si>
  <si>
    <t>o2</t>
  </si>
  <si>
    <t>cms_102</t>
  </si>
  <si>
    <t>t3</t>
  </si>
  <si>
    <t>cms_103</t>
  </si>
  <si>
    <t>COUNTA of Same Day</t>
  </si>
  <si>
    <t>Grand Total</t>
  </si>
  <si>
    <t>feedback_at</t>
  </si>
  <si>
    <t>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</si>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</sst>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4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2" fillId="2" fontId="3" numFmtId="164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4" fillId="3" fontId="3" numFmtId="164" xfId="0" applyAlignment="1" applyBorder="1" applyFont="1" applyNumberFormat="1">
      <alignment horizontal="right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ick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edbac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5" sheet="ticket"/>
  </cacheSource>
  <cacheFields>
    <cacheField name="ticket_id" numFmtId="0">
      <sharedItems containsBlank="1">
        <s v="t1"/>
        <s v="t2"/>
        <s v="t3"/>
        <m/>
      </sharedItems>
    </cacheField>
    <cacheField name="created_at" numFmtId="164">
      <sharedItems containsDate="1" containsString="0" containsBlank="1">
        <d v="2021-08-19T16:45:00Z"/>
        <d v="2021-08-21T11:09:00Z"/>
        <d v="2021-08-22T10:00:00Z"/>
        <m/>
      </sharedItems>
    </cacheField>
    <cacheField name="closed_at" numFmtId="164">
      <sharedItems containsDate="1" containsString="0" containsBlank="1">
        <d v="2021-08-22T12:33:00Z"/>
        <d v="2021-08-21T17:13:00Z"/>
        <d v="2021-08-22T10:30:00Z"/>
        <m/>
      </sharedItems>
    </cacheField>
    <cacheField name="outlet_id" numFmtId="0">
      <sharedItems containsBlank="1">
        <s v="o1"/>
        <s v="o2"/>
        <m/>
      </sharedItems>
    </cacheField>
    <cacheField name="cms_id" numFmtId="0">
      <sharedItems containsBlank="1">
        <s v="cms_101"/>
        <s v="cms_102"/>
        <s v="cms_103"/>
        <m/>
      </sharedItems>
    </cacheField>
    <cacheField name="Same Day" numFmtId="0">
      <sharedItems containsBlank="1">
        <b v="0"/>
        <b v="1"/>
        <m/>
      </sharedItems>
    </cacheField>
    <cacheField name="Same Hour" numFmtId="0">
      <sharedItems containsBlank="1">
        <b v="0"/>
        <b v="1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B6" firstHeaderRow="0" firstDataRow="1" firstDataCol="0" rowPageCount="1" colPageCount="1"/>
  <pivotFields>
    <pivotField name="ticket_id" compact="0" outline="0" multipleItemSelectionAllowed="1" showAll="0">
      <items>
        <item x="0"/>
        <item x="1"/>
        <item x="2"/>
        <item x="3"/>
        <item t="default"/>
      </items>
    </pivotField>
    <pivotField name="created_at" compact="0" numFmtId="164" outline="0" multipleItemSelectionAllowed="1" showAll="0">
      <items>
        <item x="0"/>
        <item x="1"/>
        <item x="2"/>
        <item x="3"/>
        <item t="default"/>
      </items>
    </pivotField>
    <pivotField name="closed_at" compact="0" numFmtId="164" outline="0" multipleItemSelectionAllowed="1" showAll="0">
      <items>
        <item x="0"/>
        <item x="1"/>
        <item x="2"/>
        <item x="3"/>
        <item t="default"/>
      </items>
    </pivotField>
    <pivotField name="outlet_id" axis="axisRow" compact="0" outline="0" multipleItemSelectionAllowed="1" showAll="0" sortType="ascending">
      <items>
        <item x="2"/>
        <item x="0"/>
        <item x="1"/>
        <item t="default"/>
      </items>
    </pivotField>
    <pivotField name="cms_id" compact="0" outline="0" multipleItemSelectionAllowed="1" showAll="0">
      <items>
        <item x="0"/>
        <item x="1"/>
        <item x="2"/>
        <item x="3"/>
        <item t="default"/>
      </items>
    </pivotField>
    <pivotField name="Same Day" axis="axisPage" dataField="1" compact="0" outline="0" multipleItemSelectionAllowed="1" showAll="0">
      <items>
        <item h="1" x="0"/>
        <item x="1"/>
        <item h="1" x="2"/>
        <item t="default"/>
      </items>
    </pivotField>
    <pivotField name="Same Hour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pageFields>
    <pageField fld="5"/>
  </pageFields>
  <dataFields>
    <dataField name="COUNTA of Same Day" fld="5" subtotal="count" baseField="0"/>
  </dataFields>
</pivotTableDefinition>
</file>

<file path=xl/tables/table1.xml><?xml version="1.0" encoding="utf-8"?>
<table xmlns="http://schemas.openxmlformats.org/spreadsheetml/2006/main" ref="A1:G15" displayName="Table1" name="Table1" id="1">
  <tableColumns count="7">
    <tableColumn name="ticket_id" id="1"/>
    <tableColumn name="created_at" id="2"/>
    <tableColumn name="closed_at" id="3"/>
    <tableColumn name="outlet_id" id="4"/>
    <tableColumn name="cms_id" id="5"/>
    <tableColumn name="Same Day" id="6"/>
    <tableColumn name="Same Hour" id="7"/>
  </tableColumns>
  <tableStyleInfo name="ticket-style" showColumnStripes="0" showFirstColumn="1" showLastColumn="1" showRowStripes="1"/>
</table>
</file>

<file path=xl/tables/table2.xml><?xml version="1.0" encoding="utf-8"?>
<table xmlns="http://schemas.openxmlformats.org/spreadsheetml/2006/main" ref="A1:D4" displayName="Table2" name="Table2" id="2">
  <tableColumns count="4">
    <tableColumn name="cms_id" id="1"/>
    <tableColumn name="feedback_at" id="2"/>
    <tableColumn name="rating" id="3"/>
    <tableColumn name="ticket_created_at" id="4"/>
  </tableColumns>
  <tableStyleInfo name="feedbac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22.5" customHeight="1">
      <c r="A2" s="4" t="s">
        <v>7</v>
      </c>
      <c r="B2" s="5">
        <v>44427.697916666664</v>
      </c>
      <c r="C2" s="5">
        <v>44430.52291666667</v>
      </c>
      <c r="D2" s="6" t="s">
        <v>8</v>
      </c>
      <c r="E2" s="7" t="s">
        <v>9</v>
      </c>
      <c r="F2" s="8" t="b">
        <f t="shared" ref="F2:F4" si="1">INT(B2)=INT(C2)</f>
        <v>0</v>
      </c>
      <c r="G2" s="9" t="b">
        <f t="shared" ref="G2:G4" si="2">AND(INT(B2)=INT(C2), HOUR(B2)=HOUR(C2))</f>
        <v>0</v>
      </c>
    </row>
    <row r="3" ht="22.5" customHeight="1">
      <c r="A3" s="10" t="s">
        <v>10</v>
      </c>
      <c r="B3" s="11">
        <v>44429.464583333334</v>
      </c>
      <c r="C3" s="11">
        <v>44429.717361111114</v>
      </c>
      <c r="D3" s="12" t="s">
        <v>11</v>
      </c>
      <c r="E3" s="13" t="s">
        <v>12</v>
      </c>
      <c r="F3" s="8" t="b">
        <f t="shared" si="1"/>
        <v>1</v>
      </c>
      <c r="G3" s="9" t="b">
        <f t="shared" si="2"/>
        <v>0</v>
      </c>
    </row>
    <row r="4" ht="22.5" customHeight="1">
      <c r="A4" s="4" t="s">
        <v>13</v>
      </c>
      <c r="B4" s="5">
        <v>44430.416666666664</v>
      </c>
      <c r="C4" s="5">
        <v>44430.4375</v>
      </c>
      <c r="D4" s="6" t="s">
        <v>8</v>
      </c>
      <c r="E4" s="7" t="s">
        <v>14</v>
      </c>
      <c r="F4" s="8" t="b">
        <f t="shared" si="1"/>
        <v>1</v>
      </c>
      <c r="G4" s="9" t="b">
        <f t="shared" si="2"/>
        <v>1</v>
      </c>
    </row>
    <row r="5" ht="22.5" customHeight="1">
      <c r="A5" s="8"/>
      <c r="B5" s="8"/>
      <c r="C5" s="8"/>
      <c r="D5" s="8"/>
      <c r="E5" s="8"/>
      <c r="F5" s="8"/>
    </row>
    <row r="6" ht="22.5" customHeight="1">
      <c r="A6" s="8"/>
      <c r="B6" s="8"/>
      <c r="C6" s="8"/>
      <c r="D6" s="8"/>
      <c r="E6" s="8"/>
      <c r="F6" s="8"/>
    </row>
    <row r="7" ht="22.5" customHeight="1">
      <c r="A7" s="8"/>
      <c r="B7" s="8"/>
      <c r="C7" s="8"/>
      <c r="D7" s="8"/>
      <c r="E7" s="8"/>
      <c r="F7" s="8"/>
    </row>
    <row r="8" ht="22.5" customHeight="1">
      <c r="A8" s="8"/>
      <c r="B8" s="8"/>
      <c r="C8" s="8"/>
      <c r="D8" s="8"/>
      <c r="E8" s="8"/>
      <c r="F8" s="8"/>
    </row>
    <row r="9" ht="22.5" customHeight="1">
      <c r="A9" s="8"/>
      <c r="B9" s="8"/>
      <c r="C9" s="8"/>
      <c r="D9" s="8"/>
      <c r="E9" s="8"/>
      <c r="F9" s="8"/>
    </row>
    <row r="10" ht="22.5" customHeight="1">
      <c r="A10" s="8"/>
      <c r="B10" s="8"/>
      <c r="C10" s="8"/>
      <c r="D10" s="8"/>
      <c r="E10" s="8"/>
      <c r="F10" s="8"/>
    </row>
    <row r="11" ht="22.5" customHeight="1">
      <c r="A11" s="8"/>
      <c r="B11" s="8"/>
      <c r="C11" s="8"/>
      <c r="D11" s="8"/>
      <c r="E11" s="8"/>
      <c r="F11" s="8"/>
    </row>
    <row r="12" ht="22.5" customHeight="1">
      <c r="A12" s="8"/>
      <c r="B12" s="8"/>
      <c r="C12" s="8"/>
      <c r="D12" s="8"/>
      <c r="E12" s="8"/>
      <c r="F12" s="8"/>
    </row>
    <row r="13" ht="22.5" customHeight="1">
      <c r="A13" s="8"/>
      <c r="B13" s="8"/>
      <c r="C13" s="8"/>
      <c r="D13" s="8"/>
      <c r="E13" s="8"/>
      <c r="F13" s="8"/>
    </row>
    <row r="14" ht="22.5" customHeight="1">
      <c r="A14" s="8"/>
      <c r="B14" s="8"/>
      <c r="C14" s="8"/>
      <c r="D14" s="8"/>
      <c r="E14" s="8"/>
      <c r="F14" s="8"/>
    </row>
    <row r="15" ht="22.5" customHeight="1">
      <c r="A15" s="8"/>
      <c r="B15" s="8"/>
      <c r="C15" s="8"/>
      <c r="D15" s="8"/>
      <c r="E15" s="8"/>
      <c r="F15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" t="s">
        <v>4</v>
      </c>
      <c r="B1" s="2" t="s">
        <v>17</v>
      </c>
      <c r="C1" s="2" t="s">
        <v>18</v>
      </c>
      <c r="D1" s="2" t="s">
        <v>19</v>
      </c>
    </row>
    <row r="2" ht="22.5" customHeight="1">
      <c r="A2" s="15" t="s">
        <v>9</v>
      </c>
      <c r="B2" s="16">
        <v>44429.55972222222</v>
      </c>
      <c r="C2" s="15">
        <v>3.0</v>
      </c>
      <c r="D2" s="16">
        <f t="array" ref="D2">INDEX(ticket!B:B, MATCH(A2, ticket!E:E, 0))</f>
        <v>44427.69792</v>
      </c>
    </row>
    <row r="3" ht="22.5" customHeight="1">
      <c r="A3" s="15" t="s">
        <v>12</v>
      </c>
      <c r="B3" s="16">
        <v>44430.583333333336</v>
      </c>
      <c r="C3" s="15">
        <v>4.0</v>
      </c>
      <c r="D3" s="16">
        <f t="array" ref="D3">INDEX(ticket!B:B, MATCH(A3, ticket!E:E, 0))</f>
        <v>44429.46458</v>
      </c>
    </row>
    <row r="4" ht="22.5" customHeight="1">
      <c r="A4" s="15" t="s">
        <v>14</v>
      </c>
      <c r="B4" s="16">
        <v>44431.375</v>
      </c>
      <c r="C4" s="15">
        <v>5.0</v>
      </c>
      <c r="D4" s="16">
        <f t="array" ref="D4">INDEX(ticket!B:B, MATCH(A4, ticket!E:E, 0))</f>
        <v>44430.41667</v>
      </c>
    </row>
  </sheetData>
  <drawing r:id="rId1"/>
  <tableParts count="1">
    <tablePart r:id="rId3"/>
  </tableParts>
</worksheet>
</file>